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EB1356-9D34-45C3-82C1-36975570C70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3" sheetId="1" r:id="rId1"/>
    <sheet name="13 ANOVA" sheetId="4" r:id="rId2"/>
    <sheet name="13 result II" sheetId="8" r:id="rId3"/>
    <sheet name="scatter plot number 13" sheetId="10" r:id="rId4"/>
    <sheet name="15" sheetId="3" r:id="rId5"/>
    <sheet name="15 a" sheetId="6" r:id="rId6"/>
    <sheet name="15 ANOVA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2" i="3"/>
  <c r="P16" i="3"/>
  <c r="P17" i="3"/>
  <c r="P18" i="3"/>
  <c r="P19" i="3"/>
  <c r="P20" i="3"/>
  <c r="P21" i="3"/>
  <c r="P22" i="3"/>
  <c r="P23" i="3"/>
  <c r="P24" i="3"/>
  <c r="P25" i="3"/>
  <c r="P26" i="3"/>
  <c r="P27" i="3"/>
  <c r="P15" i="3"/>
  <c r="N16" i="3"/>
  <c r="H32" i="3" s="1"/>
  <c r="K32" i="3" s="1"/>
  <c r="N17" i="3"/>
  <c r="H33" i="3" s="1"/>
  <c r="K33" i="3" s="1"/>
  <c r="N18" i="3"/>
  <c r="H34" i="3" s="1"/>
  <c r="K34" i="3" s="1"/>
  <c r="N19" i="3"/>
  <c r="H35" i="3" s="1"/>
  <c r="K35" i="3" s="1"/>
  <c r="N20" i="3"/>
  <c r="H36" i="3" s="1"/>
  <c r="K36" i="3" s="1"/>
  <c r="N21" i="3"/>
  <c r="H37" i="3" s="1"/>
  <c r="K37" i="3" s="1"/>
  <c r="N22" i="3"/>
  <c r="H38" i="3" s="1"/>
  <c r="K38" i="3" s="1"/>
  <c r="N23" i="3"/>
  <c r="H39" i="3" s="1"/>
  <c r="K39" i="3" s="1"/>
  <c r="N24" i="3"/>
  <c r="H40" i="3" s="1"/>
  <c r="K40" i="3" s="1"/>
  <c r="N25" i="3"/>
  <c r="H41" i="3" s="1"/>
  <c r="K41" i="3" s="1"/>
  <c r="N26" i="3"/>
  <c r="H42" i="3" s="1"/>
  <c r="K42" i="3" s="1"/>
  <c r="N27" i="3"/>
  <c r="H43" i="3" s="1"/>
  <c r="K43" i="3" s="1"/>
  <c r="N15" i="3"/>
  <c r="H31" i="3" s="1"/>
  <c r="K31" i="3" s="1"/>
  <c r="H16" i="3"/>
  <c r="K16" i="3" s="1"/>
  <c r="H17" i="3"/>
  <c r="K17" i="3" s="1"/>
  <c r="H18" i="3"/>
  <c r="K18" i="3" s="1"/>
  <c r="H19" i="3"/>
  <c r="K19" i="3" s="1"/>
  <c r="H20" i="3"/>
  <c r="K20" i="3" s="1"/>
  <c r="H21" i="3"/>
  <c r="K21" i="3" s="1"/>
  <c r="H22" i="3"/>
  <c r="K22" i="3" s="1"/>
  <c r="H23" i="3"/>
  <c r="K23" i="3" s="1"/>
  <c r="H24" i="3"/>
  <c r="K24" i="3" s="1"/>
  <c r="H25" i="3"/>
  <c r="K25" i="3" s="1"/>
  <c r="H26" i="3"/>
  <c r="K26" i="3" s="1"/>
  <c r="H27" i="3"/>
  <c r="K27" i="3" s="1"/>
  <c r="H15" i="3"/>
  <c r="K15" i="3" s="1"/>
  <c r="I2" i="3"/>
  <c r="D3" i="3"/>
  <c r="D4" i="3"/>
  <c r="D5" i="3"/>
  <c r="D6" i="3"/>
  <c r="D7" i="3"/>
  <c r="D8" i="3"/>
  <c r="D9" i="3"/>
  <c r="D10" i="3"/>
  <c r="D11" i="3"/>
  <c r="D12" i="3"/>
  <c r="D13" i="3"/>
  <c r="D14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2" i="3"/>
  <c r="I3" i="3"/>
  <c r="E6" i="1"/>
  <c r="E4" i="1"/>
  <c r="E3" i="1"/>
  <c r="I9" i="3" l="1"/>
  <c r="I8" i="3"/>
</calcChain>
</file>

<file path=xl/sharedStrings.xml><?xml version="1.0" encoding="utf-8"?>
<sst xmlns="http://schemas.openxmlformats.org/spreadsheetml/2006/main" count="217" uniqueCount="128">
  <si>
    <t>Temperature (°C)</t>
  </si>
  <si>
    <t>Evaporation (mm/day)</t>
  </si>
  <si>
    <t xml:space="preserve">Regression Line </t>
  </si>
  <si>
    <t xml:space="preserve">Slope  =  </t>
  </si>
  <si>
    <t xml:space="preserve">Intercept = </t>
  </si>
  <si>
    <t xml:space="preserve">y = </t>
  </si>
  <si>
    <t xml:space="preserve">R2 =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</si>
  <si>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</si>
  <si>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</si>
  <si>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</si>
  <si>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</si>
  <si>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</si>
  <si>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</si>
  <si>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</si>
  <si>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</si>
  <si>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</si>
  <si>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</si>
  <si>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</si>
  <si>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</si>
  <si>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</si>
  <si>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</si>
  <si>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</si>
  <si>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</si>
  <si>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</si>
  <si>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</si>
  <si>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</si>
  <si>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</si>
  <si>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</si>
  <si>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</si>
  <si>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</si>
  <si>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</si>
  <si>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r>
      <t>Person-Hours (</t>
    </r>
    <r>
      <rPr>
        <sz val="13.3"/>
        <color rgb="FF404040"/>
        <rFont val="Times New Roman"/>
        <family val="1"/>
      </rPr>
      <t>x</t>
    </r>
    <r>
      <rPr>
        <i/>
        <sz val="13.3"/>
        <color rgb="FF404040"/>
        <rFont val="KaTeX_Math"/>
      </rPr>
      <t>x</t>
    </r>
    <r>
      <rPr>
        <sz val="9"/>
        <color rgb="FF404040"/>
        <rFont val="Segoe UI"/>
        <family val="2"/>
      </rPr>
      <t>)</t>
    </r>
  </si>
  <si>
    <r>
      <t>Cost (</t>
    </r>
    <r>
      <rPr>
        <sz val="13.3"/>
        <color rgb="FF404040"/>
        <rFont val="Times New Roman"/>
        <family val="1"/>
      </rPr>
      <t>y</t>
    </r>
    <r>
      <rPr>
        <i/>
        <sz val="13.3"/>
        <color rgb="FF404040"/>
        <rFont val="KaTeX_Math"/>
      </rPr>
      <t>y</t>
    </r>
    <r>
      <rPr>
        <sz val="9"/>
        <color rgb="FF404040"/>
        <rFont val="Segoe UI"/>
        <family val="2"/>
      </rPr>
      <t>)</t>
    </r>
  </si>
  <si>
    <t>Slope  =</t>
  </si>
  <si>
    <t>Intercept =</t>
  </si>
  <si>
    <t xml:space="preserve">Result = </t>
  </si>
  <si>
    <t>LOG C</t>
  </si>
  <si>
    <t>LOG D</t>
  </si>
  <si>
    <t>A &amp; B</t>
  </si>
  <si>
    <t>C &amp; D</t>
  </si>
  <si>
    <t>RESIDUAL OUTPUT</t>
  </si>
  <si>
    <t>Observation</t>
  </si>
  <si>
    <t>Predicted 251</t>
  </si>
  <si>
    <t>Residuals</t>
  </si>
  <si>
    <t>Predicted 2,4</t>
  </si>
  <si>
    <t xml:space="preserve">Calculated Fitted Values </t>
  </si>
  <si>
    <t xml:space="preserve">C1 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</si>
  <si>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</si>
  <si>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</si>
  <si>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</si>
  <si>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</si>
  <si>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</si>
  <si>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</si>
  <si>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</si>
  <si>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</si>
  <si>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</si>
  <si>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</si>
  <si>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</si>
  <si>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</si>
  <si>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 xml:space="preserve">Calculated Residuals 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</si>
  <si>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</si>
  <si>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</si>
  <si>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</si>
  <si>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</si>
  <si>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</si>
  <si>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</si>
  <si>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</si>
  <si>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</si>
  <si>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</si>
  <si>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</si>
  <si>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</si>
  <si>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</si>
  <si>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</si>
  <si>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Fitted Values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</si>
  <si>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</si>
  <si>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</si>
  <si>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</si>
  <si>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</si>
  <si>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</si>
  <si>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</si>
  <si>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</si>
  <si>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</si>
  <si>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</si>
  <si>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</si>
  <si>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</si>
  <si>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</si>
  <si>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</si>
  <si>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</si>
  <si>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</si>
  <si>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</si>
  <si>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</si>
  <si>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</si>
  <si>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</si>
  <si>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</si>
  <si>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</si>
  <si>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</si>
  <si>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</si>
  <si>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</si>
  <si>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</si>
  <si>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</si>
  <si>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Transform Data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</si>
  <si>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</si>
  <si>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</si>
  <si>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</si>
  <si>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</si>
  <si>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</si>
  <si>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</si>
  <si>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</si>
  <si>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</si>
  <si>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</si>
  <si>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</si>
  <si>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</si>
  <si>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</si>
  <si>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</si>
  <si>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E &amp; F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</si>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</sst>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rgb="FF404040"/>
      <name val="Segoe UI"/>
      <family val="2"/>
    </font>
    <font>
      <sz val="9"/>
      <color rgb="FF404040"/>
      <name val="Segoe UI"/>
      <family val="2"/>
    </font>
    <font>
      <i/>
      <sz val="11"/>
      <color theme="1"/>
      <name val="Calibri"/>
      <family val="2"/>
      <scheme val="minor"/>
    </font>
    <font>
      <sz val="13.3"/>
      <color rgb="FF404040"/>
      <name val="Times New Roman"/>
      <family val="1"/>
    </font>
    <font>
      <i/>
      <sz val="13.3"/>
      <color rgb="FF404040"/>
      <name val="KaTeX_Math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11,8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'13'!$A$3:$A$41</c:f>
              <c:numCache>
                <c:formatCode>General</c:formatCode>
                <c:ptCount val="39"/>
                <c:pt idx="0">
                  <c:v>11.8</c:v>
                </c:pt>
                <c:pt idx="1">
                  <c:v>18.600000000000001</c:v>
                </c:pt>
                <c:pt idx="2">
                  <c:v>14</c:v>
                </c:pt>
                <c:pt idx="3">
                  <c:v>21.5</c:v>
                </c:pt>
                <c:pt idx="4">
                  <c:v>24.2</c:v>
                </c:pt>
                <c:pt idx="5">
                  <c:v>25.4</c:v>
                </c:pt>
                <c:pt idx="6">
                  <c:v>13.6</c:v>
                </c:pt>
                <c:pt idx="7">
                  <c:v>16.5</c:v>
                </c:pt>
                <c:pt idx="8">
                  <c:v>15.8</c:v>
                </c:pt>
                <c:pt idx="9">
                  <c:v>22.1</c:v>
                </c:pt>
                <c:pt idx="10">
                  <c:v>25.4</c:v>
                </c:pt>
                <c:pt idx="11">
                  <c:v>23.6</c:v>
                </c:pt>
                <c:pt idx="12">
                  <c:v>26.8</c:v>
                </c:pt>
                <c:pt idx="13">
                  <c:v>25.4</c:v>
                </c:pt>
                <c:pt idx="14">
                  <c:v>17.7</c:v>
                </c:pt>
                <c:pt idx="15">
                  <c:v>19.100000000000001</c:v>
                </c:pt>
                <c:pt idx="16">
                  <c:v>24.8</c:v>
                </c:pt>
                <c:pt idx="17">
                  <c:v>22.6</c:v>
                </c:pt>
                <c:pt idx="18">
                  <c:v>24.7</c:v>
                </c:pt>
                <c:pt idx="19">
                  <c:v>21.6</c:v>
                </c:pt>
                <c:pt idx="20">
                  <c:v>26.2</c:v>
                </c:pt>
                <c:pt idx="21">
                  <c:v>24.4</c:v>
                </c:pt>
                <c:pt idx="22">
                  <c:v>24.3</c:v>
                </c:pt>
                <c:pt idx="23">
                  <c:v>31</c:v>
                </c:pt>
                <c:pt idx="24">
                  <c:v>14.2</c:v>
                </c:pt>
                <c:pt idx="25">
                  <c:v>15.8</c:v>
                </c:pt>
                <c:pt idx="26">
                  <c:v>25.8</c:v>
                </c:pt>
                <c:pt idx="27">
                  <c:v>18.899999999999999</c:v>
                </c:pt>
                <c:pt idx="28">
                  <c:v>14.1</c:v>
                </c:pt>
                <c:pt idx="29">
                  <c:v>22.3</c:v>
                </c:pt>
                <c:pt idx="30">
                  <c:v>28.3</c:v>
                </c:pt>
                <c:pt idx="31">
                  <c:v>24.2</c:v>
                </c:pt>
                <c:pt idx="32">
                  <c:v>30.3</c:v>
                </c:pt>
                <c:pt idx="33">
                  <c:v>23.2</c:v>
                </c:pt>
                <c:pt idx="34">
                  <c:v>29.8</c:v>
                </c:pt>
                <c:pt idx="35">
                  <c:v>19.100000000000001</c:v>
                </c:pt>
                <c:pt idx="36">
                  <c:v>15.2</c:v>
                </c:pt>
                <c:pt idx="37">
                  <c:v>19.7</c:v>
                </c:pt>
                <c:pt idx="38">
                  <c:v>26.5</c:v>
                </c:pt>
              </c:numCache>
            </c:numRef>
          </c:xVal>
          <c:yVal>
            <c:numRef>
              <c:f>'13 result II'!$C$25:$C$63</c:f>
              <c:numCache>
                <c:formatCode>General</c:formatCode>
                <c:ptCount val="39"/>
                <c:pt idx="0">
                  <c:v>1.5004782028820394</c:v>
                </c:pt>
                <c:pt idx="1">
                  <c:v>-0.32516387644919131</c:v>
                </c:pt>
                <c:pt idx="2">
                  <c:v>-1.6931118816074764</c:v>
                </c:pt>
                <c:pt idx="3">
                  <c:v>-7.580535145809808E-2</c:v>
                </c:pt>
                <c:pt idx="4">
                  <c:v>-8.1575000604321879E-2</c:v>
                </c:pt>
                <c:pt idx="5">
                  <c:v>0.14919404421957871</c:v>
                </c:pt>
                <c:pt idx="6">
                  <c:v>0.79663177011789044</c:v>
                </c:pt>
                <c:pt idx="7">
                  <c:v>1.6459902951089829</c:v>
                </c:pt>
                <c:pt idx="8">
                  <c:v>-0.5969583143716255</c:v>
                </c:pt>
                <c:pt idx="9">
                  <c:v>0.18957917095385124</c:v>
                </c:pt>
                <c:pt idx="10">
                  <c:v>-0.25080595578042164</c:v>
                </c:pt>
                <c:pt idx="11">
                  <c:v>-0.84695952301627297</c:v>
                </c:pt>
                <c:pt idx="12">
                  <c:v>2.3350912631807947</c:v>
                </c:pt>
                <c:pt idx="13">
                  <c:v>-0.55080595578042146</c:v>
                </c:pt>
                <c:pt idx="14">
                  <c:v>-1.6232406600671165</c:v>
                </c:pt>
                <c:pt idx="15">
                  <c:v>2.0626565588941004</c:v>
                </c:pt>
                <c:pt idx="16">
                  <c:v>0.18380952180762833</c:v>
                </c:pt>
                <c:pt idx="17">
                  <c:v>-1.5226003937028567</c:v>
                </c:pt>
                <c:pt idx="18">
                  <c:v>0.50624543473896999</c:v>
                </c:pt>
                <c:pt idx="19">
                  <c:v>1.4017587356105601</c:v>
                </c:pt>
                <c:pt idx="20">
                  <c:v>-1.3302932592311549</c:v>
                </c:pt>
                <c:pt idx="21">
                  <c:v>-2.6446826467005913E-2</c:v>
                </c:pt>
                <c:pt idx="22">
                  <c:v>-0.40401091353566354</c:v>
                </c:pt>
                <c:pt idx="23">
                  <c:v>-1.8072170799355529</c:v>
                </c:pt>
                <c:pt idx="24">
                  <c:v>1.5620162925298411</c:v>
                </c:pt>
                <c:pt idx="25">
                  <c:v>0.10304168562837424</c:v>
                </c:pt>
                <c:pt idx="26">
                  <c:v>0.35945039249421118</c:v>
                </c:pt>
                <c:pt idx="27">
                  <c:v>-0.89247161524321594</c:v>
                </c:pt>
                <c:pt idx="28">
                  <c:v>-0.61554779453881769</c:v>
                </c:pt>
                <c:pt idx="29">
                  <c:v>0.24470734509116898</c:v>
                </c:pt>
                <c:pt idx="30">
                  <c:v>-0.20144743078932947</c:v>
                </c:pt>
                <c:pt idx="31">
                  <c:v>2.0184249993956778</c:v>
                </c:pt>
                <c:pt idx="32">
                  <c:v>-0.75016568941616146</c:v>
                </c:pt>
                <c:pt idx="33">
                  <c:v>2.5427841287090942</c:v>
                </c:pt>
                <c:pt idx="34">
                  <c:v>1.4620138752405465</c:v>
                </c:pt>
                <c:pt idx="35">
                  <c:v>-2.3373434411058995</c:v>
                </c:pt>
                <c:pt idx="36">
                  <c:v>-1.8623428367835755</c:v>
                </c:pt>
                <c:pt idx="37">
                  <c:v>-0.77195891869394906</c:v>
                </c:pt>
                <c:pt idx="38">
                  <c:v>-0.4976009980251801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89-427B-B888-C3465D508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029632"/>
        <c:axId val="236942848"/>
      </c:scatterChart>
      <c:valAx>
        <c:axId val="23702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11,8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6942848"/>
        <c:crosses val="autoZero"/>
        <c:crossBetween val="midCat"/>
      </c:valAx>
      <c:valAx>
        <c:axId val="236942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7029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939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'15'!$A$3:$A$14</c:f>
              <c:numCache>
                <c:formatCode>General</c:formatCode>
                <c:ptCount val="12"/>
                <c:pt idx="0">
                  <c:v>5796</c:v>
                </c:pt>
                <c:pt idx="1">
                  <c:v>289</c:v>
                </c:pt>
                <c:pt idx="2">
                  <c:v>283</c:v>
                </c:pt>
                <c:pt idx="3">
                  <c:v>138</c:v>
                </c:pt>
                <c:pt idx="4">
                  <c:v>2698</c:v>
                </c:pt>
                <c:pt idx="5">
                  <c:v>663</c:v>
                </c:pt>
                <c:pt idx="6">
                  <c:v>1069</c:v>
                </c:pt>
                <c:pt idx="7">
                  <c:v>6945</c:v>
                </c:pt>
                <c:pt idx="8">
                  <c:v>4159</c:v>
                </c:pt>
                <c:pt idx="9">
                  <c:v>1266</c:v>
                </c:pt>
                <c:pt idx="10">
                  <c:v>1481</c:v>
                </c:pt>
                <c:pt idx="11">
                  <c:v>4716</c:v>
                </c:pt>
              </c:numCache>
            </c:numRef>
          </c:xVal>
          <c:yVal>
            <c:numRef>
              <c:f>'15 a'!$C$25:$C$36</c:f>
              <c:numCache>
                <c:formatCode>General</c:formatCode>
                <c:ptCount val="12"/>
                <c:pt idx="0">
                  <c:v>899.20781486047554</c:v>
                </c:pt>
                <c:pt idx="1">
                  <c:v>135.8836809934711</c:v>
                </c:pt>
                <c:pt idx="2">
                  <c:v>310.02678162844438</c:v>
                </c:pt>
                <c:pt idx="3">
                  <c:v>254.15171364029919</c:v>
                </c:pt>
                <c:pt idx="4">
                  <c:v>-266.57122394830958</c:v>
                </c:pt>
                <c:pt idx="5">
                  <c:v>98.630408080135282</c:v>
                </c:pt>
                <c:pt idx="6">
                  <c:v>-171.71940155305811</c:v>
                </c:pt>
                <c:pt idx="7">
                  <c:v>668.80404326308781</c:v>
                </c:pt>
                <c:pt idx="8">
                  <c:v>-1483.4162285643088</c:v>
                </c:pt>
                <c:pt idx="9">
                  <c:v>139.24879426531845</c:v>
                </c:pt>
                <c:pt idx="10">
                  <c:v>133.78768817877506</c:v>
                </c:pt>
                <c:pt idx="11">
                  <c:v>-718.03407084433002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9-48E2-85DB-48C22D683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027200"/>
        <c:axId val="134174592"/>
      </c:scatterChart>
      <c:valAx>
        <c:axId val="223027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939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174592"/>
        <c:crosses val="autoZero"/>
        <c:crossBetween val="midCat"/>
      </c:valAx>
      <c:valAx>
        <c:axId val="134174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3027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52DAF9-F77A-4151-A01E-8611EADB2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opLeftCell="A2" workbookViewId="0">
      <selection activeCell="A3" sqref="A3:A41"/>
    </sheetView>
  </sheetViews>
  <sheetFormatPr defaultRowHeight="15"/>
  <cols>
    <col min="1" max="1" width="12.7109375" customWidth="1"/>
    <col min="2" max="2" width="13.5703125" customWidth="1"/>
    <col min="3" max="3" width="8.85546875" customWidth="1"/>
    <col min="4" max="4" width="13.28515625" customWidth="1"/>
    <col min="5" max="5" width="24.7109375" customWidth="1"/>
  </cols>
  <sheetData>
    <row r="1" spans="1:5" ht="24">
      <c r="A1" s="2" t="s">
        <v>0</v>
      </c>
      <c r="B1" s="2" t="s">
        <v>1</v>
      </c>
    </row>
    <row r="2" spans="1:5">
      <c r="A2" s="3">
        <v>11.8</v>
      </c>
      <c r="B2" s="3">
        <v>2.4</v>
      </c>
      <c r="D2" s="10" t="s">
        <v>2</v>
      </c>
      <c r="E2" s="10"/>
    </row>
    <row r="3" spans="1:5">
      <c r="A3" s="3">
        <v>11.8</v>
      </c>
      <c r="B3" s="3">
        <v>3.8</v>
      </c>
      <c r="D3" t="s">
        <v>3</v>
      </c>
      <c r="E3">
        <f>SLOPE(B2:B41,A2:A41)</f>
        <v>0.22344969628990952</v>
      </c>
    </row>
    <row r="4" spans="1:5">
      <c r="A4" s="3">
        <v>18.600000000000001</v>
      </c>
      <c r="B4" s="3">
        <v>3.5</v>
      </c>
      <c r="D4" t="s">
        <v>4</v>
      </c>
      <c r="E4">
        <f>INTERCEPT(B2:B41,A2:A41)</f>
        <v>-0.32584434295522868</v>
      </c>
    </row>
    <row r="5" spans="1:5">
      <c r="A5" s="3">
        <v>14</v>
      </c>
      <c r="B5" s="3">
        <v>1.1000000000000001</v>
      </c>
      <c r="D5" t="s">
        <v>5</v>
      </c>
    </row>
    <row r="6" spans="1:5">
      <c r="A6" s="3">
        <v>21.5</v>
      </c>
      <c r="B6" s="3">
        <v>4.4000000000000004</v>
      </c>
      <c r="D6" t="s">
        <v>6</v>
      </c>
      <c r="E6">
        <f>RSQ(B2:B41,A2:A41)</f>
        <v>0.47548533539968901</v>
      </c>
    </row>
    <row r="7" spans="1:5">
      <c r="A7" s="3">
        <v>24.2</v>
      </c>
      <c r="B7" s="3">
        <v>5</v>
      </c>
    </row>
    <row r="8" spans="1:5">
      <c r="A8" s="3">
        <v>25.4</v>
      </c>
      <c r="B8" s="3">
        <v>5.5</v>
      </c>
    </row>
    <row r="9" spans="1:5">
      <c r="A9" s="3">
        <v>13.6</v>
      </c>
      <c r="B9" s="3">
        <v>3.5</v>
      </c>
    </row>
    <row r="10" spans="1:5">
      <c r="A10" s="3">
        <v>16.5</v>
      </c>
      <c r="B10" s="3">
        <v>5</v>
      </c>
    </row>
    <row r="11" spans="1:5">
      <c r="A11" s="3">
        <v>15.8</v>
      </c>
      <c r="B11" s="3">
        <v>2.6</v>
      </c>
    </row>
    <row r="12" spans="1:5">
      <c r="A12" s="3">
        <v>22.1</v>
      </c>
      <c r="B12" s="3">
        <v>4.8</v>
      </c>
    </row>
    <row r="13" spans="1:5">
      <c r="A13" s="3">
        <v>25.4</v>
      </c>
      <c r="B13" s="3">
        <v>5.0999999999999996</v>
      </c>
    </row>
    <row r="14" spans="1:5">
      <c r="A14" s="3">
        <v>23.6</v>
      </c>
      <c r="B14" s="3">
        <v>4.0999999999999996</v>
      </c>
    </row>
    <row r="15" spans="1:5">
      <c r="A15" s="3">
        <v>26.8</v>
      </c>
      <c r="B15" s="3">
        <v>8</v>
      </c>
    </row>
    <row r="16" spans="1:5">
      <c r="A16" s="3">
        <v>25.4</v>
      </c>
      <c r="B16" s="3">
        <v>4.8</v>
      </c>
    </row>
    <row r="17" spans="1:2">
      <c r="A17" s="3">
        <v>17.7</v>
      </c>
      <c r="B17" s="3">
        <v>2</v>
      </c>
    </row>
    <row r="18" spans="1:2">
      <c r="A18" s="3">
        <v>19.100000000000001</v>
      </c>
      <c r="B18" s="3">
        <v>6</v>
      </c>
    </row>
    <row r="19" spans="1:2">
      <c r="A19" s="3">
        <v>24.8</v>
      </c>
      <c r="B19" s="3">
        <v>5.4</v>
      </c>
    </row>
    <row r="20" spans="1:2">
      <c r="A20" s="3">
        <v>22.6</v>
      </c>
      <c r="B20" s="3">
        <v>3.2</v>
      </c>
    </row>
    <row r="21" spans="1:2">
      <c r="A21" s="3">
        <v>24.7</v>
      </c>
      <c r="B21" s="3">
        <v>5.7</v>
      </c>
    </row>
    <row r="22" spans="1:2">
      <c r="A22" s="3">
        <v>21.6</v>
      </c>
      <c r="B22" s="3">
        <v>5.9</v>
      </c>
    </row>
    <row r="23" spans="1:2">
      <c r="A23" s="3">
        <v>26.2</v>
      </c>
      <c r="B23" s="3">
        <v>4.2</v>
      </c>
    </row>
    <row r="24" spans="1:2">
      <c r="A24" s="3">
        <v>24.4</v>
      </c>
      <c r="B24" s="3">
        <v>5.0999999999999996</v>
      </c>
    </row>
    <row r="25" spans="1:2">
      <c r="A25" s="3">
        <v>24.3</v>
      </c>
      <c r="B25" s="3">
        <v>4.7</v>
      </c>
    </row>
    <row r="26" spans="1:2">
      <c r="A26" s="3">
        <v>31</v>
      </c>
      <c r="B26" s="3">
        <v>4.8</v>
      </c>
    </row>
    <row r="27" spans="1:2">
      <c r="A27" s="3">
        <v>14.2</v>
      </c>
      <c r="B27" s="3">
        <v>4.4000000000000004</v>
      </c>
    </row>
    <row r="28" spans="1:2">
      <c r="A28" s="3">
        <v>15.8</v>
      </c>
      <c r="B28" s="3">
        <v>3.3</v>
      </c>
    </row>
    <row r="29" spans="1:2">
      <c r="A29" s="3">
        <v>25.8</v>
      </c>
      <c r="B29" s="3">
        <v>5.8</v>
      </c>
    </row>
    <row r="30" spans="1:2">
      <c r="A30" s="3">
        <v>18.899999999999999</v>
      </c>
      <c r="B30" s="3">
        <v>3</v>
      </c>
    </row>
    <row r="31" spans="1:2">
      <c r="A31" s="3">
        <v>14.1</v>
      </c>
      <c r="B31" s="3">
        <v>2.2000000000000002</v>
      </c>
    </row>
    <row r="32" spans="1:2">
      <c r="A32" s="3">
        <v>22.3</v>
      </c>
      <c r="B32" s="3">
        <v>4.9000000000000004</v>
      </c>
    </row>
    <row r="33" spans="1:2">
      <c r="A33" s="3">
        <v>28.3</v>
      </c>
      <c r="B33" s="3">
        <v>5.8</v>
      </c>
    </row>
    <row r="34" spans="1:2">
      <c r="A34" s="3">
        <v>24.2</v>
      </c>
      <c r="B34" s="3">
        <v>7.1</v>
      </c>
    </row>
    <row r="35" spans="1:2">
      <c r="A35" s="3">
        <v>30.3</v>
      </c>
      <c r="B35" s="3">
        <v>5.7</v>
      </c>
    </row>
    <row r="36" spans="1:2">
      <c r="A36" s="3">
        <v>23.2</v>
      </c>
      <c r="B36" s="3">
        <v>7.4</v>
      </c>
    </row>
    <row r="37" spans="1:2">
      <c r="A37" s="3">
        <v>29.8</v>
      </c>
      <c r="B37" s="3">
        <v>7.8</v>
      </c>
    </row>
    <row r="38" spans="1:2">
      <c r="A38" s="3">
        <v>19.100000000000001</v>
      </c>
      <c r="B38" s="3">
        <v>1.6</v>
      </c>
    </row>
    <row r="39" spans="1:2">
      <c r="A39" s="3">
        <v>15.2</v>
      </c>
      <c r="B39" s="3">
        <v>1.2</v>
      </c>
    </row>
    <row r="40" spans="1:2">
      <c r="A40" s="3">
        <v>19.7</v>
      </c>
      <c r="B40" s="3">
        <v>3.3</v>
      </c>
    </row>
    <row r="41" spans="1:2">
      <c r="A41" s="3">
        <v>26.5</v>
      </c>
      <c r="B41" s="3">
        <v>5.0999999999999996</v>
      </c>
    </row>
  </sheetData>
  <mergeCells count="1">
    <mergeCell ref="D2:E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I13" sqref="I13"/>
    </sheetView>
  </sheetViews>
  <sheetFormatPr defaultRowHeight="15"/>
  <cols>
    <col min="1" max="1" width="18.7109375" customWidth="1"/>
    <col min="2" max="2" width="13.85546875" customWidth="1"/>
    <col min="3" max="3" width="13.140625" customWidth="1"/>
    <col min="4" max="4" width="15.42578125" customWidth="1"/>
    <col min="5" max="5" width="13.85546875" customWidth="1"/>
    <col min="6" max="6" width="19.85546875" customWidth="1"/>
    <col min="7" max="7" width="15.5703125" customWidth="1"/>
    <col min="8" max="8" width="12.5703125" customWidth="1"/>
    <col min="9" max="9" width="12.85546875" customWidth="1"/>
  </cols>
  <sheetData>
    <row r="1" spans="1:9">
      <c r="A1" s="11" t="s">
        <v>7</v>
      </c>
      <c r="B1" s="11"/>
      <c r="C1" s="11"/>
      <c r="D1" s="11"/>
      <c r="E1" s="11"/>
      <c r="F1" s="11"/>
      <c r="G1" s="11"/>
      <c r="H1" s="11"/>
      <c r="I1" s="11"/>
    </row>
    <row r="3" spans="1:9">
      <c r="A3" s="5" t="s">
        <v>8</v>
      </c>
      <c r="B3" s="5"/>
    </row>
    <row r="4" spans="1:9">
      <c r="A4" s="1" t="s">
        <v>9</v>
      </c>
      <c r="B4" s="1">
        <v>0.67383594132876634</v>
      </c>
    </row>
    <row r="5" spans="1:9">
      <c r="A5" s="1" t="s">
        <v>10</v>
      </c>
      <c r="B5" s="1">
        <v>0.45405487582642456</v>
      </c>
    </row>
    <row r="6" spans="1:9">
      <c r="A6" s="1" t="s">
        <v>11</v>
      </c>
      <c r="B6" s="1">
        <v>0.43929960220011172</v>
      </c>
    </row>
    <row r="7" spans="1:9">
      <c r="A7" s="1" t="s">
        <v>12</v>
      </c>
      <c r="B7" s="1">
        <v>1.2634571102278727</v>
      </c>
    </row>
    <row r="8" spans="1:9">
      <c r="A8" s="1" t="s">
        <v>13</v>
      </c>
      <c r="B8" s="1">
        <v>39</v>
      </c>
    </row>
    <row r="10" spans="1:9">
      <c r="A10" t="s">
        <v>14</v>
      </c>
    </row>
    <row r="11" spans="1:9">
      <c r="A11" s="4"/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</row>
    <row r="12" spans="1:9">
      <c r="A12" s="1" t="s">
        <v>15</v>
      </c>
      <c r="B12" s="1">
        <v>1</v>
      </c>
      <c r="C12" s="1">
        <v>49.122683499408133</v>
      </c>
      <c r="D12" s="1">
        <v>49.122683499408133</v>
      </c>
      <c r="E12" s="1">
        <v>30.772379240512056</v>
      </c>
      <c r="F12" s="1">
        <v>2.576780216736675E-6</v>
      </c>
    </row>
    <row r="13" spans="1:9">
      <c r="A13" s="1" t="s">
        <v>16</v>
      </c>
      <c r="B13" s="1">
        <v>37</v>
      </c>
      <c r="C13" s="1">
        <v>59.063983167258563</v>
      </c>
      <c r="D13" s="1">
        <v>1.5963238693853665</v>
      </c>
      <c r="E13" s="1"/>
      <c r="F13" s="1"/>
    </row>
    <row r="14" spans="1:9">
      <c r="A14" s="1" t="s">
        <v>17</v>
      </c>
      <c r="B14" s="1">
        <v>38</v>
      </c>
      <c r="C14" s="1">
        <v>108.1866666666667</v>
      </c>
      <c r="D14" s="1"/>
      <c r="E14" s="1"/>
      <c r="F14" s="1"/>
    </row>
    <row r="16" spans="1:9">
      <c r="A16" s="4"/>
      <c r="B16" s="4" t="s">
        <v>24</v>
      </c>
      <c r="C16" s="4" t="s">
        <v>12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</row>
    <row r="17" spans="1:9">
      <c r="A17" s="1" t="s">
        <v>18</v>
      </c>
      <c r="B17" s="1">
        <v>-0.34791592878035171</v>
      </c>
      <c r="C17" s="1">
        <v>0.90289338737377922</v>
      </c>
      <c r="D17" s="1">
        <v>-0.38533445215755213</v>
      </c>
      <c r="E17" s="1">
        <v>0.70219609875962052</v>
      </c>
      <c r="F17" s="1">
        <v>-2.1773517051959268</v>
      </c>
      <c r="G17" s="1">
        <v>1.4815198476352234</v>
      </c>
      <c r="H17" s="1">
        <v>-2.1773517051959268</v>
      </c>
      <c r="I17" s="1">
        <v>1.4815198476352234</v>
      </c>
    </row>
    <row r="18" spans="1:9">
      <c r="A18" s="1">
        <v>11.8</v>
      </c>
      <c r="B18" s="1">
        <v>0.22435912931341628</v>
      </c>
      <c r="C18" s="1">
        <v>4.0444848029890186E-2</v>
      </c>
      <c r="D18" s="1">
        <v>5.5472857543587972</v>
      </c>
      <c r="E18" s="1">
        <v>2.576780216736675E-6</v>
      </c>
      <c r="F18" s="1">
        <v>0.14241008306689501</v>
      </c>
      <c r="G18" s="1">
        <v>0.30630817555993756</v>
      </c>
      <c r="H18" s="1">
        <v>0.14241008306689501</v>
      </c>
      <c r="I18" s="1">
        <v>0.30630817555993756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3"/>
  <sheetViews>
    <sheetView tabSelected="1" workbookViewId="0">
      <selection activeCell="L17" sqref="L17"/>
    </sheetView>
  </sheetViews>
  <sheetFormatPr defaultRowHeight="15"/>
  <cols>
    <col min="1" max="1" width="13.42578125" customWidth="1"/>
    <col min="2" max="2" width="12.42578125" customWidth="1"/>
    <col min="3" max="3" width="15.7109375" customWidth="1"/>
    <col min="6" max="6" width="14.5703125" customWidth="1"/>
    <col min="7" max="7" width="12.85546875" customWidth="1"/>
    <col min="8" max="8" width="14.28515625" customWidth="1"/>
    <col min="9" max="9" width="14" customWidth="1"/>
  </cols>
  <sheetData>
    <row r="1" spans="1:9">
      <c r="A1" s="12" t="s">
        <v>7</v>
      </c>
      <c r="B1" s="12"/>
    </row>
    <row r="2" spans="1:9">
      <c r="A2" s="12"/>
      <c r="B2" s="12"/>
    </row>
    <row r="3" spans="1:9">
      <c r="A3" s="5" t="s">
        <v>8</v>
      </c>
      <c r="B3" s="5"/>
    </row>
    <row r="4" spans="1:9">
      <c r="A4" s="1" t="s">
        <v>9</v>
      </c>
      <c r="B4" s="1">
        <v>0.67383594132876634</v>
      </c>
    </row>
    <row r="5" spans="1:9">
      <c r="A5" s="1" t="s">
        <v>10</v>
      </c>
      <c r="B5" s="1">
        <v>0.45405487582642456</v>
      </c>
    </row>
    <row r="6" spans="1:9">
      <c r="A6" s="1" t="s">
        <v>11</v>
      </c>
      <c r="B6" s="1">
        <v>0.43929960220011172</v>
      </c>
    </row>
    <row r="7" spans="1:9">
      <c r="A7" s="1" t="s">
        <v>12</v>
      </c>
      <c r="B7" s="1">
        <v>1.2634571102278727</v>
      </c>
    </row>
    <row r="8" spans="1:9">
      <c r="A8" s="1" t="s">
        <v>13</v>
      </c>
      <c r="B8" s="1">
        <v>39</v>
      </c>
    </row>
    <row r="10" spans="1:9">
      <c r="A10" s="11" t="s">
        <v>14</v>
      </c>
      <c r="B10" s="11"/>
      <c r="C10" s="11"/>
      <c r="D10" s="11"/>
      <c r="E10" s="11"/>
      <c r="F10" s="11"/>
    </row>
    <row r="11" spans="1:9">
      <c r="A11" s="4"/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</row>
    <row r="12" spans="1:9">
      <c r="A12" s="1" t="s">
        <v>15</v>
      </c>
      <c r="B12" s="1">
        <v>1</v>
      </c>
      <c r="C12" s="1">
        <v>49.122683499408133</v>
      </c>
      <c r="D12" s="1">
        <v>49.122683499408133</v>
      </c>
      <c r="E12" s="1">
        <v>30.772379240512056</v>
      </c>
      <c r="F12" s="1">
        <v>2.576780216736675E-6</v>
      </c>
    </row>
    <row r="13" spans="1:9">
      <c r="A13" s="1" t="s">
        <v>16</v>
      </c>
      <c r="B13" s="1">
        <v>37</v>
      </c>
      <c r="C13" s="1">
        <v>59.063983167258563</v>
      </c>
      <c r="D13" s="1">
        <v>1.5963238693853665</v>
      </c>
      <c r="E13" s="1"/>
      <c r="F13" s="1"/>
    </row>
    <row r="14" spans="1:9">
      <c r="A14" s="1" t="s">
        <v>17</v>
      </c>
      <c r="B14" s="1">
        <v>38</v>
      </c>
      <c r="C14" s="1">
        <v>108.1866666666667</v>
      </c>
      <c r="D14" s="1"/>
      <c r="E14" s="1"/>
      <c r="F14" s="1"/>
    </row>
    <row r="16" spans="1:9">
      <c r="A16" s="4"/>
      <c r="B16" s="4" t="s">
        <v>24</v>
      </c>
      <c r="C16" s="4" t="s">
        <v>12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</row>
    <row r="17" spans="1:9">
      <c r="A17" s="1" t="s">
        <v>18</v>
      </c>
      <c r="B17" s="1">
        <v>-0.34791592878035171</v>
      </c>
      <c r="C17" s="1">
        <v>0.90289338737377922</v>
      </c>
      <c r="D17" s="1">
        <v>-0.38533445215755213</v>
      </c>
      <c r="E17" s="1">
        <v>0.70219609875962052</v>
      </c>
      <c r="F17" s="1">
        <v>-2.1773517051959268</v>
      </c>
      <c r="G17" s="1">
        <v>1.4815198476352234</v>
      </c>
      <c r="H17" s="1">
        <v>-2.1773517051959268</v>
      </c>
      <c r="I17" s="1">
        <v>1.4815198476352234</v>
      </c>
    </row>
    <row r="18" spans="1:9">
      <c r="A18" s="1">
        <v>11.8</v>
      </c>
      <c r="B18" s="1">
        <v>0.22435912931341628</v>
      </c>
      <c r="C18" s="1">
        <v>4.0444848029890186E-2</v>
      </c>
      <c r="D18" s="1">
        <v>5.5472857543587972</v>
      </c>
      <c r="E18" s="1">
        <v>2.576780216736675E-6</v>
      </c>
      <c r="F18" s="1">
        <v>0.14241008306689501</v>
      </c>
      <c r="G18" s="1">
        <v>0.30630817555993756</v>
      </c>
      <c r="H18" s="1">
        <v>0.14241008306689501</v>
      </c>
      <c r="I18" s="1">
        <v>0.30630817555993756</v>
      </c>
    </row>
    <row r="22" spans="1:9">
      <c r="A22" s="12" t="s">
        <v>40</v>
      </c>
      <c r="B22" s="12"/>
      <c r="C22" s="12"/>
    </row>
    <row r="23" spans="1:9">
      <c r="A23" s="12"/>
      <c r="B23" s="12"/>
      <c r="C23" s="12"/>
    </row>
    <row r="24" spans="1:9">
      <c r="A24" s="4" t="s">
        <v>41</v>
      </c>
      <c r="B24" s="4" t="s">
        <v>44</v>
      </c>
      <c r="C24" s="4" t="s">
        <v>43</v>
      </c>
    </row>
    <row r="25" spans="1:9">
      <c r="A25" s="1">
        <v>1</v>
      </c>
      <c r="B25" s="1">
        <v>2.2995217971179605</v>
      </c>
      <c r="C25" s="1">
        <v>1.5004782028820394</v>
      </c>
    </row>
    <row r="26" spans="1:9">
      <c r="A26" s="1">
        <v>2</v>
      </c>
      <c r="B26" s="1">
        <v>3.8251638764491913</v>
      </c>
      <c r="C26" s="1">
        <v>-0.32516387644919131</v>
      </c>
    </row>
    <row r="27" spans="1:9">
      <c r="A27" s="1">
        <v>3</v>
      </c>
      <c r="B27" s="1">
        <v>2.7931118816074765</v>
      </c>
      <c r="C27" s="1">
        <v>-1.6931118816074764</v>
      </c>
    </row>
    <row r="28" spans="1:9">
      <c r="A28" s="1">
        <v>4</v>
      </c>
      <c r="B28" s="1">
        <v>4.4758053514580984</v>
      </c>
      <c r="C28" s="1">
        <v>-7.580535145809808E-2</v>
      </c>
    </row>
    <row r="29" spans="1:9">
      <c r="A29" s="1">
        <v>5</v>
      </c>
      <c r="B29" s="1">
        <v>5.0815750006043219</v>
      </c>
      <c r="C29" s="1">
        <v>-8.1575000604321879E-2</v>
      </c>
    </row>
    <row r="30" spans="1:9">
      <c r="A30" s="1">
        <v>6</v>
      </c>
      <c r="B30" s="1">
        <v>5.3508059557804213</v>
      </c>
      <c r="C30" s="1">
        <v>0.14919404421957871</v>
      </c>
    </row>
    <row r="31" spans="1:9">
      <c r="A31" s="1">
        <v>7</v>
      </c>
      <c r="B31" s="1">
        <v>2.7033682298821096</v>
      </c>
      <c r="C31" s="1">
        <v>0.79663177011789044</v>
      </c>
    </row>
    <row r="32" spans="1:9">
      <c r="A32" s="1">
        <v>8</v>
      </c>
      <c r="B32" s="1">
        <v>3.3540097048910171</v>
      </c>
      <c r="C32" s="1">
        <v>1.6459902951089829</v>
      </c>
    </row>
    <row r="33" spans="1:3">
      <c r="A33" s="1">
        <v>9</v>
      </c>
      <c r="B33" s="1">
        <v>3.1969583143716256</v>
      </c>
      <c r="C33" s="1">
        <v>-0.5969583143716255</v>
      </c>
    </row>
    <row r="34" spans="1:3">
      <c r="A34" s="1">
        <v>10</v>
      </c>
      <c r="B34" s="1">
        <v>4.6104208290461486</v>
      </c>
      <c r="C34" s="1">
        <v>0.18957917095385124</v>
      </c>
    </row>
    <row r="35" spans="1:3">
      <c r="A35" s="1">
        <v>11</v>
      </c>
      <c r="B35" s="1">
        <v>5.3508059557804213</v>
      </c>
      <c r="C35" s="1">
        <v>-0.25080595578042164</v>
      </c>
    </row>
    <row r="36" spans="1:3">
      <c r="A36" s="1">
        <v>12</v>
      </c>
      <c r="B36" s="1">
        <v>4.9469595230162726</v>
      </c>
      <c r="C36" s="1">
        <v>-0.84695952301627297</v>
      </c>
    </row>
    <row r="37" spans="1:3">
      <c r="A37" s="1">
        <v>13</v>
      </c>
      <c r="B37" s="1">
        <v>5.6649087368192053</v>
      </c>
      <c r="C37" s="1">
        <v>2.3350912631807947</v>
      </c>
    </row>
    <row r="38" spans="1:3">
      <c r="A38" s="1">
        <v>14</v>
      </c>
      <c r="B38" s="1">
        <v>5.3508059557804213</v>
      </c>
      <c r="C38" s="1">
        <v>-0.55080595578042146</v>
      </c>
    </row>
    <row r="39" spans="1:3">
      <c r="A39" s="1">
        <v>15</v>
      </c>
      <c r="B39" s="1">
        <v>3.6232406600671165</v>
      </c>
      <c r="C39" s="1">
        <v>-1.6232406600671165</v>
      </c>
    </row>
    <row r="40" spans="1:3">
      <c r="A40" s="1">
        <v>16</v>
      </c>
      <c r="B40" s="1">
        <v>3.9373434411058996</v>
      </c>
      <c r="C40" s="1">
        <v>2.0626565588941004</v>
      </c>
    </row>
    <row r="41" spans="1:3">
      <c r="A41" s="1">
        <v>17</v>
      </c>
      <c r="B41" s="1">
        <v>5.216190478192372</v>
      </c>
      <c r="C41" s="1">
        <v>0.18380952180762833</v>
      </c>
    </row>
    <row r="42" spans="1:3">
      <c r="A42" s="1">
        <v>18</v>
      </c>
      <c r="B42" s="1">
        <v>4.7226003937028569</v>
      </c>
      <c r="C42" s="1">
        <v>-1.5226003937028567</v>
      </c>
    </row>
    <row r="43" spans="1:3">
      <c r="A43" s="1">
        <v>19</v>
      </c>
      <c r="B43" s="1">
        <v>5.1937545652610302</v>
      </c>
      <c r="C43" s="1">
        <v>0.50624543473896999</v>
      </c>
    </row>
    <row r="44" spans="1:3">
      <c r="A44" s="1">
        <v>20</v>
      </c>
      <c r="B44" s="1">
        <v>4.4982412643894403</v>
      </c>
      <c r="C44" s="1">
        <v>1.4017587356105601</v>
      </c>
    </row>
    <row r="45" spans="1:3">
      <c r="A45" s="1">
        <v>21</v>
      </c>
      <c r="B45" s="1">
        <v>5.5302932592311551</v>
      </c>
      <c r="C45" s="1">
        <v>-1.3302932592311549</v>
      </c>
    </row>
    <row r="46" spans="1:3">
      <c r="A46" s="1">
        <v>22</v>
      </c>
      <c r="B46" s="1">
        <v>5.1264468264670056</v>
      </c>
      <c r="C46" s="1">
        <v>-2.6446826467005913E-2</v>
      </c>
    </row>
    <row r="47" spans="1:3">
      <c r="A47" s="1">
        <v>23</v>
      </c>
      <c r="B47" s="1">
        <v>5.1040109135356637</v>
      </c>
      <c r="C47" s="1">
        <v>-0.40401091353566354</v>
      </c>
    </row>
    <row r="48" spans="1:3">
      <c r="A48" s="1">
        <v>24</v>
      </c>
      <c r="B48" s="1">
        <v>6.6072170799355527</v>
      </c>
      <c r="C48" s="1">
        <v>-1.8072170799355529</v>
      </c>
    </row>
    <row r="49" spans="1:3">
      <c r="A49" s="1">
        <v>25</v>
      </c>
      <c r="B49" s="1">
        <v>2.8379837074701593</v>
      </c>
      <c r="C49" s="1">
        <v>1.5620162925298411</v>
      </c>
    </row>
    <row r="50" spans="1:3">
      <c r="A50" s="1">
        <v>26</v>
      </c>
      <c r="B50" s="1">
        <v>3.1969583143716256</v>
      </c>
      <c r="C50" s="1">
        <v>0.10304168562837424</v>
      </c>
    </row>
    <row r="51" spans="1:3">
      <c r="A51" s="1">
        <v>27</v>
      </c>
      <c r="B51" s="1">
        <v>5.4405496075057886</v>
      </c>
      <c r="C51" s="1">
        <v>0.35945039249421118</v>
      </c>
    </row>
    <row r="52" spans="1:3">
      <c r="A52" s="1">
        <v>28</v>
      </c>
      <c r="B52" s="1">
        <v>3.8924716152432159</v>
      </c>
      <c r="C52" s="1">
        <v>-0.89247161524321594</v>
      </c>
    </row>
    <row r="53" spans="1:3">
      <c r="A53" s="1">
        <v>29</v>
      </c>
      <c r="B53" s="1">
        <v>2.8155477945388179</v>
      </c>
      <c r="C53" s="1">
        <v>-0.61554779453881769</v>
      </c>
    </row>
    <row r="54" spans="1:3">
      <c r="A54" s="1">
        <v>30</v>
      </c>
      <c r="B54" s="1">
        <v>4.6552926549088314</v>
      </c>
      <c r="C54" s="1">
        <v>0.24470734509116898</v>
      </c>
    </row>
    <row r="55" spans="1:3">
      <c r="A55" s="1">
        <v>31</v>
      </c>
      <c r="B55" s="1">
        <v>6.0014474307893293</v>
      </c>
      <c r="C55" s="1">
        <v>-0.20144743078932947</v>
      </c>
    </row>
    <row r="56" spans="1:3">
      <c r="A56" s="1">
        <v>32</v>
      </c>
      <c r="B56" s="1">
        <v>5.0815750006043219</v>
      </c>
      <c r="C56" s="1">
        <v>2.0184249993956778</v>
      </c>
    </row>
    <row r="57" spans="1:3">
      <c r="A57" s="1">
        <v>33</v>
      </c>
      <c r="B57" s="1">
        <v>6.4501656894161616</v>
      </c>
      <c r="C57" s="1">
        <v>-0.75016568941616146</v>
      </c>
    </row>
    <row r="58" spans="1:3">
      <c r="A58" s="1">
        <v>34</v>
      </c>
      <c r="B58" s="1">
        <v>4.8572158712909062</v>
      </c>
      <c r="C58" s="1">
        <v>2.5427841287090942</v>
      </c>
    </row>
    <row r="59" spans="1:3">
      <c r="A59" s="1">
        <v>35</v>
      </c>
      <c r="B59" s="1">
        <v>6.3379861247594533</v>
      </c>
      <c r="C59" s="1">
        <v>1.4620138752405465</v>
      </c>
    </row>
    <row r="60" spans="1:3">
      <c r="A60" s="1">
        <v>36</v>
      </c>
      <c r="B60" s="1">
        <v>3.9373434411058996</v>
      </c>
      <c r="C60" s="1">
        <v>-2.3373434411058995</v>
      </c>
    </row>
    <row r="61" spans="1:3">
      <c r="A61" s="1">
        <v>37</v>
      </c>
      <c r="B61" s="1">
        <v>3.0623428367835754</v>
      </c>
      <c r="C61" s="1">
        <v>-1.8623428367835755</v>
      </c>
    </row>
    <row r="62" spans="1:3">
      <c r="A62" s="1">
        <v>38</v>
      </c>
      <c r="B62" s="1">
        <v>4.0719589186939489</v>
      </c>
      <c r="C62" s="1">
        <v>-0.77195891869394906</v>
      </c>
    </row>
    <row r="63" spans="1:3">
      <c r="A63" s="1">
        <v>39</v>
      </c>
      <c r="B63" s="1">
        <v>5.5976009980251797</v>
      </c>
      <c r="C63" s="1">
        <v>-0.4976009980251801</v>
      </c>
    </row>
  </sheetData>
  <mergeCells count="3">
    <mergeCell ref="A10:F10"/>
    <mergeCell ref="A1:B2"/>
    <mergeCell ref="A22:C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4E2A-718A-4C6D-ADF8-1306FA630E1E}">
  <dimension ref="A1"/>
  <sheetViews>
    <sheetView workbookViewId="0">
      <selection activeCell="A13" sqref="A13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3"/>
  <sheetViews>
    <sheetView topLeftCell="A2" workbookViewId="0">
      <selection activeCell="N41" sqref="N41"/>
    </sheetView>
  </sheetViews>
  <sheetFormatPr defaultRowHeight="15"/>
  <cols>
    <col min="1" max="1" width="15.42578125" customWidth="1"/>
    <col min="2" max="2" width="13.5703125" customWidth="1"/>
    <col min="3" max="3" width="11.7109375" customWidth="1"/>
    <col min="4" max="4" width="15.85546875" customWidth="1"/>
    <col min="5" max="5" width="16.28515625" customWidth="1"/>
    <col min="8" max="8" width="11.7109375" customWidth="1"/>
    <col min="9" max="9" width="14.85546875" customWidth="1"/>
    <col min="10" max="10" width="8.85546875" customWidth="1"/>
    <col min="12" max="12" width="12.140625" customWidth="1"/>
    <col min="14" max="14" width="12.7109375" customWidth="1"/>
    <col min="16" max="16" width="14.140625" customWidth="1"/>
  </cols>
  <sheetData>
    <row r="1" spans="1:16" ht="30">
      <c r="A1" s="2" t="s">
        <v>31</v>
      </c>
      <c r="B1" s="2" t="s">
        <v>32</v>
      </c>
      <c r="C1" s="6" t="s">
        <v>36</v>
      </c>
      <c r="D1" s="6" t="s">
        <v>37</v>
      </c>
    </row>
    <row r="2" spans="1:16">
      <c r="A2" s="3">
        <v>939</v>
      </c>
      <c r="B2" s="3">
        <v>251</v>
      </c>
      <c r="C2" s="1">
        <f>LN(A2)</f>
        <v>6.8448154792082629</v>
      </c>
      <c r="D2" s="1">
        <f>LN(B2)</f>
        <v>5.5254529391317835</v>
      </c>
      <c r="G2" s="1" t="s">
        <v>38</v>
      </c>
      <c r="H2" s="1" t="s">
        <v>33</v>
      </c>
      <c r="I2" s="1">
        <f>SLOPE(B2:B14,A2:A14)</f>
        <v>0.6946050240927264</v>
      </c>
      <c r="K2" s="1" t="s">
        <v>114</v>
      </c>
      <c r="L2" s="1" t="s">
        <v>33</v>
      </c>
      <c r="M2" s="1">
        <f>SLOPE(P15:P27,N15:N27)</f>
        <v>0.92545972446489044</v>
      </c>
    </row>
    <row r="3" spans="1:16">
      <c r="A3" s="3">
        <v>5796</v>
      </c>
      <c r="B3" s="3">
        <v>4690</v>
      </c>
      <c r="C3" s="1">
        <f t="shared" ref="C3:C14" si="0">LN(A3)</f>
        <v>8.6649233034405722</v>
      </c>
      <c r="D3" s="1">
        <f t="shared" ref="D3:D14" si="1">LN(B3)</f>
        <v>8.4531878614403251</v>
      </c>
      <c r="G3" s="1" t="s">
        <v>38</v>
      </c>
      <c r="H3" s="1" t="s">
        <v>34</v>
      </c>
      <c r="I3" s="1">
        <f>INTERCEPT(B2:B14,A2:A14)</f>
        <v>-235.3204725715982</v>
      </c>
      <c r="K3" s="1" t="s">
        <v>114</v>
      </c>
      <c r="L3" s="1" t="s">
        <v>34</v>
      </c>
      <c r="M3" s="1">
        <f>INTERCEPT(P15:P27,N15:N27)</f>
        <v>-7.4455095696536411E-2</v>
      </c>
    </row>
    <row r="4" spans="1:16">
      <c r="A4" s="3">
        <v>289</v>
      </c>
      <c r="B4" s="3">
        <v>124</v>
      </c>
      <c r="C4" s="1">
        <f t="shared" si="0"/>
        <v>5.6664266881124323</v>
      </c>
      <c r="D4" s="1">
        <f t="shared" si="1"/>
        <v>4.8202815656050371</v>
      </c>
      <c r="G4" s="12" t="s">
        <v>35</v>
      </c>
      <c r="H4" s="12"/>
      <c r="I4" s="11"/>
      <c r="K4" s="12" t="s">
        <v>35</v>
      </c>
      <c r="L4" s="12"/>
      <c r="M4" s="11"/>
    </row>
    <row r="5" spans="1:16">
      <c r="A5" s="3">
        <v>283</v>
      </c>
      <c r="B5" s="3">
        <v>294</v>
      </c>
      <c r="C5" s="1">
        <f t="shared" si="0"/>
        <v>5.6454468976432377</v>
      </c>
      <c r="D5" s="1">
        <f t="shared" si="1"/>
        <v>5.6835797673386814</v>
      </c>
      <c r="G5" s="12"/>
      <c r="H5" s="12"/>
      <c r="I5" s="11"/>
      <c r="K5" s="12"/>
      <c r="L5" s="12"/>
      <c r="M5" s="11"/>
    </row>
    <row r="6" spans="1:16">
      <c r="A6" s="3">
        <v>138</v>
      </c>
      <c r="B6" s="3">
        <v>138</v>
      </c>
      <c r="C6" s="1">
        <f t="shared" si="0"/>
        <v>4.9272536851572051</v>
      </c>
      <c r="D6" s="1">
        <f t="shared" si="1"/>
        <v>4.9272536851572051</v>
      </c>
      <c r="I6" s="7"/>
      <c r="J6" s="7"/>
    </row>
    <row r="7" spans="1:16">
      <c r="A7" s="3">
        <v>2698</v>
      </c>
      <c r="B7" s="3">
        <v>1385</v>
      </c>
      <c r="C7" s="1">
        <f t="shared" si="0"/>
        <v>7.9002660367677011</v>
      </c>
      <c r="D7" s="1">
        <f t="shared" si="1"/>
        <v>7.233455418621439</v>
      </c>
    </row>
    <row r="8" spans="1:16">
      <c r="A8" s="3">
        <v>663</v>
      </c>
      <c r="B8" s="3">
        <v>345</v>
      </c>
      <c r="C8" s="1">
        <f t="shared" si="0"/>
        <v>6.4967749901858625</v>
      </c>
      <c r="D8" s="1">
        <f t="shared" si="1"/>
        <v>5.8435444170313602</v>
      </c>
      <c r="G8" s="1" t="s">
        <v>39</v>
      </c>
      <c r="H8" s="1" t="s">
        <v>33</v>
      </c>
      <c r="I8" s="1">
        <f>SLOPE(D2:D14,C2:C14)</f>
        <v>0.92545972446489044</v>
      </c>
    </row>
    <row r="9" spans="1:16">
      <c r="A9" s="3">
        <v>1069</v>
      </c>
      <c r="B9" s="3">
        <v>355</v>
      </c>
      <c r="C9" s="1">
        <f t="shared" si="0"/>
        <v>6.9744789110250451</v>
      </c>
      <c r="D9" s="1">
        <f t="shared" si="1"/>
        <v>5.872117789475416</v>
      </c>
      <c r="G9" s="1" t="s">
        <v>39</v>
      </c>
      <c r="H9" s="1" t="s">
        <v>34</v>
      </c>
      <c r="I9" s="1">
        <f>INTERCEPT(D2:D14,C2:C14)</f>
        <v>-7.4455095696536411E-2</v>
      </c>
    </row>
    <row r="10" spans="1:16">
      <c r="A10" s="3">
        <v>6945</v>
      </c>
      <c r="B10" s="3">
        <v>5253</v>
      </c>
      <c r="C10" s="1">
        <f t="shared" si="0"/>
        <v>8.8457772551884446</v>
      </c>
      <c r="D10" s="1">
        <f t="shared" si="1"/>
        <v>8.566554620953962</v>
      </c>
      <c r="G10" s="12" t="s">
        <v>35</v>
      </c>
      <c r="H10" s="12"/>
      <c r="I10" s="16"/>
      <c r="K10" s="9"/>
      <c r="L10" s="9"/>
    </row>
    <row r="11" spans="1:16">
      <c r="A11" s="3">
        <v>4159</v>
      </c>
      <c r="B11" s="3">
        <v>1177</v>
      </c>
      <c r="C11" s="1">
        <f t="shared" si="0"/>
        <v>8.3330299397429108</v>
      </c>
      <c r="D11" s="1">
        <f t="shared" si="1"/>
        <v>7.0707241072602764</v>
      </c>
      <c r="G11" s="12"/>
      <c r="H11" s="12"/>
      <c r="I11" s="17"/>
      <c r="K11" s="9"/>
      <c r="L11" s="9"/>
    </row>
    <row r="12" spans="1:16">
      <c r="A12" s="3">
        <v>1266</v>
      </c>
      <c r="B12" s="3">
        <v>802</v>
      </c>
      <c r="C12" s="1">
        <f t="shared" si="0"/>
        <v>7.1436176027041212</v>
      </c>
      <c r="D12" s="1">
        <f t="shared" si="1"/>
        <v>6.6871086078665147</v>
      </c>
    </row>
    <row r="13" spans="1:16">
      <c r="A13" s="3">
        <v>1481</v>
      </c>
      <c r="B13" s="3">
        <v>945</v>
      </c>
      <c r="C13" s="1">
        <f t="shared" si="0"/>
        <v>7.300472814267799</v>
      </c>
      <c r="D13" s="1">
        <f t="shared" si="1"/>
        <v>6.8511849274937431</v>
      </c>
    </row>
    <row r="14" spans="1:16">
      <c r="A14" s="3">
        <v>4716</v>
      </c>
      <c r="B14" s="3">
        <v>2327</v>
      </c>
      <c r="C14" s="1">
        <f t="shared" si="0"/>
        <v>8.458716261657262</v>
      </c>
      <c r="D14" s="1">
        <f t="shared" si="1"/>
        <v>7.7523351633022921</v>
      </c>
      <c r="G14" s="11" t="s">
        <v>45</v>
      </c>
      <c r="H14" s="11"/>
      <c r="J14" s="13" t="s">
        <v>59</v>
      </c>
      <c r="K14" s="14"/>
      <c r="L14" s="8"/>
      <c r="M14" s="13" t="s">
        <v>100</v>
      </c>
      <c r="N14" s="15"/>
      <c r="O14" s="15"/>
      <c r="P14" s="14"/>
    </row>
    <row r="15" spans="1:16">
      <c r="G15" s="1" t="s">
        <v>46</v>
      </c>
      <c r="H15" s="1">
        <f>106.22+0.645*A2</f>
        <v>711.875</v>
      </c>
      <c r="J15" s="1" t="s">
        <v>60</v>
      </c>
      <c r="K15" s="1">
        <f t="shared" ref="K15:K27" si="2">B2-H15</f>
        <v>-460.875</v>
      </c>
      <c r="M15" s="1" t="s">
        <v>87</v>
      </c>
      <c r="N15" s="1">
        <f>LN(A2)</f>
        <v>6.8448154792082629</v>
      </c>
      <c r="O15" s="1" t="s">
        <v>101</v>
      </c>
      <c r="P15" s="1">
        <f>LN(B2)</f>
        <v>5.5254529391317835</v>
      </c>
    </row>
    <row r="16" spans="1:16">
      <c r="G16" s="1" t="s">
        <v>47</v>
      </c>
      <c r="H16" s="1">
        <f t="shared" ref="H16:H27" si="3">106.22+0.645*A3</f>
        <v>3844.64</v>
      </c>
      <c r="J16" s="1" t="s">
        <v>61</v>
      </c>
      <c r="K16" s="1">
        <f t="shared" si="2"/>
        <v>845.36000000000013</v>
      </c>
      <c r="M16" s="1" t="s">
        <v>88</v>
      </c>
      <c r="N16" s="1">
        <f t="shared" ref="N16:N27" si="4">LN(A3)</f>
        <v>8.6649233034405722</v>
      </c>
      <c r="O16" s="1" t="s">
        <v>102</v>
      </c>
      <c r="P16" s="1">
        <f t="shared" ref="P16:P27" si="5">LN(B3)</f>
        <v>8.4531878614403251</v>
      </c>
    </row>
    <row r="17" spans="7:17">
      <c r="G17" s="1" t="s">
        <v>48</v>
      </c>
      <c r="H17" s="1">
        <f t="shared" si="3"/>
        <v>292.625</v>
      </c>
      <c r="J17" s="1" t="s">
        <v>62</v>
      </c>
      <c r="K17" s="1">
        <f t="shared" si="2"/>
        <v>-168.625</v>
      </c>
      <c r="M17" s="1" t="s">
        <v>89</v>
      </c>
      <c r="N17" s="1">
        <f t="shared" si="4"/>
        <v>5.6664266881124323</v>
      </c>
      <c r="O17" s="1" t="s">
        <v>103</v>
      </c>
      <c r="P17" s="1">
        <f t="shared" si="5"/>
        <v>4.8202815656050371</v>
      </c>
    </row>
    <row r="18" spans="7:17">
      <c r="G18" s="1" t="s">
        <v>49</v>
      </c>
      <c r="H18" s="1">
        <f t="shared" si="3"/>
        <v>288.755</v>
      </c>
      <c r="J18" s="1" t="s">
        <v>63</v>
      </c>
      <c r="K18" s="1">
        <f t="shared" si="2"/>
        <v>5.2450000000000045</v>
      </c>
      <c r="M18" s="1" t="s">
        <v>90</v>
      </c>
      <c r="N18" s="1">
        <f t="shared" si="4"/>
        <v>5.6454468976432377</v>
      </c>
      <c r="O18" s="1" t="s">
        <v>104</v>
      </c>
      <c r="P18" s="1">
        <f t="shared" si="5"/>
        <v>5.6835797673386814</v>
      </c>
    </row>
    <row r="19" spans="7:17">
      <c r="G19" s="1" t="s">
        <v>50</v>
      </c>
      <c r="H19" s="1">
        <f t="shared" si="3"/>
        <v>195.23000000000002</v>
      </c>
      <c r="I19" s="8"/>
      <c r="J19" s="1" t="s">
        <v>64</v>
      </c>
      <c r="K19" s="1">
        <f t="shared" si="2"/>
        <v>-57.230000000000018</v>
      </c>
      <c r="L19" s="8"/>
      <c r="M19" s="1" t="s">
        <v>91</v>
      </c>
      <c r="N19" s="1">
        <f t="shared" si="4"/>
        <v>4.9272536851572051</v>
      </c>
      <c r="O19" s="1" t="s">
        <v>105</v>
      </c>
      <c r="P19" s="1">
        <f t="shared" si="5"/>
        <v>4.9272536851572051</v>
      </c>
      <c r="Q19" s="8"/>
    </row>
    <row r="20" spans="7:17">
      <c r="G20" s="1" t="s">
        <v>51</v>
      </c>
      <c r="H20" s="1">
        <f t="shared" si="3"/>
        <v>1846.43</v>
      </c>
      <c r="J20" s="1" t="s">
        <v>65</v>
      </c>
      <c r="K20" s="1">
        <f t="shared" si="2"/>
        <v>-461.43000000000006</v>
      </c>
      <c r="M20" s="1" t="s">
        <v>92</v>
      </c>
      <c r="N20" s="1">
        <f t="shared" si="4"/>
        <v>7.9002660367677011</v>
      </c>
      <c r="O20" s="1" t="s">
        <v>106</v>
      </c>
      <c r="P20" s="1">
        <f t="shared" si="5"/>
        <v>7.233455418621439</v>
      </c>
    </row>
    <row r="21" spans="7:17">
      <c r="G21" s="1" t="s">
        <v>52</v>
      </c>
      <c r="H21" s="1">
        <f t="shared" si="3"/>
        <v>533.85500000000002</v>
      </c>
      <c r="J21" s="1" t="s">
        <v>66</v>
      </c>
      <c r="K21" s="1">
        <f t="shared" si="2"/>
        <v>-188.85500000000002</v>
      </c>
      <c r="M21" s="1" t="s">
        <v>93</v>
      </c>
      <c r="N21" s="1">
        <f t="shared" si="4"/>
        <v>6.4967749901858625</v>
      </c>
      <c r="O21" s="1" t="s">
        <v>107</v>
      </c>
      <c r="P21" s="1">
        <f t="shared" si="5"/>
        <v>5.8435444170313602</v>
      </c>
    </row>
    <row r="22" spans="7:17">
      <c r="G22" s="1" t="s">
        <v>53</v>
      </c>
      <c r="H22" s="1">
        <f t="shared" si="3"/>
        <v>795.72500000000002</v>
      </c>
      <c r="J22" s="1" t="s">
        <v>67</v>
      </c>
      <c r="K22" s="1">
        <f t="shared" si="2"/>
        <v>-440.72500000000002</v>
      </c>
      <c r="M22" s="1" t="s">
        <v>94</v>
      </c>
      <c r="N22" s="1">
        <f t="shared" si="4"/>
        <v>6.9744789110250451</v>
      </c>
      <c r="O22" s="1" t="s">
        <v>108</v>
      </c>
      <c r="P22" s="1">
        <f t="shared" si="5"/>
        <v>5.872117789475416</v>
      </c>
    </row>
    <row r="23" spans="7:17">
      <c r="G23" s="1" t="s">
        <v>54</v>
      </c>
      <c r="H23" s="1">
        <f t="shared" si="3"/>
        <v>4585.7450000000008</v>
      </c>
      <c r="J23" s="1" t="s">
        <v>68</v>
      </c>
      <c r="K23" s="1">
        <f t="shared" si="2"/>
        <v>667.2549999999992</v>
      </c>
      <c r="M23" s="1" t="s">
        <v>95</v>
      </c>
      <c r="N23" s="1">
        <f t="shared" si="4"/>
        <v>8.8457772551884446</v>
      </c>
      <c r="O23" s="1" t="s">
        <v>109</v>
      </c>
      <c r="P23" s="1">
        <f t="shared" si="5"/>
        <v>8.566554620953962</v>
      </c>
    </row>
    <row r="24" spans="7:17">
      <c r="G24" s="1" t="s">
        <v>55</v>
      </c>
      <c r="H24" s="1">
        <f t="shared" si="3"/>
        <v>2788.7750000000001</v>
      </c>
      <c r="J24" s="1" t="s">
        <v>69</v>
      </c>
      <c r="K24" s="1">
        <f t="shared" si="2"/>
        <v>-1611.7750000000001</v>
      </c>
      <c r="M24" s="1" t="s">
        <v>96</v>
      </c>
      <c r="N24" s="1">
        <f t="shared" si="4"/>
        <v>8.3330299397429108</v>
      </c>
      <c r="O24" s="1" t="s">
        <v>110</v>
      </c>
      <c r="P24" s="1">
        <f t="shared" si="5"/>
        <v>7.0707241072602764</v>
      </c>
    </row>
    <row r="25" spans="7:17">
      <c r="G25" s="1" t="s">
        <v>56</v>
      </c>
      <c r="H25" s="1">
        <f t="shared" si="3"/>
        <v>922.79000000000008</v>
      </c>
      <c r="J25" s="1" t="s">
        <v>70</v>
      </c>
      <c r="K25" s="1">
        <f t="shared" si="2"/>
        <v>-120.79000000000008</v>
      </c>
      <c r="M25" s="1" t="s">
        <v>97</v>
      </c>
      <c r="N25" s="1">
        <f t="shared" si="4"/>
        <v>7.1436176027041212</v>
      </c>
      <c r="O25" s="1" t="s">
        <v>111</v>
      </c>
      <c r="P25" s="1">
        <f t="shared" si="5"/>
        <v>6.6871086078665147</v>
      </c>
    </row>
    <row r="26" spans="7:17">
      <c r="G26" s="1" t="s">
        <v>57</v>
      </c>
      <c r="H26" s="1">
        <f t="shared" si="3"/>
        <v>1061.4649999999999</v>
      </c>
      <c r="J26" s="1" t="s">
        <v>71</v>
      </c>
      <c r="K26" s="1">
        <f t="shared" si="2"/>
        <v>-116.46499999999992</v>
      </c>
      <c r="M26" s="1" t="s">
        <v>98</v>
      </c>
      <c r="N26" s="1">
        <f t="shared" si="4"/>
        <v>7.300472814267799</v>
      </c>
      <c r="O26" s="1" t="s">
        <v>112</v>
      </c>
      <c r="P26" s="1">
        <f t="shared" si="5"/>
        <v>6.8511849274937431</v>
      </c>
    </row>
    <row r="27" spans="7:17">
      <c r="G27" s="1" t="s">
        <v>58</v>
      </c>
      <c r="H27" s="1">
        <f t="shared" si="3"/>
        <v>3148.04</v>
      </c>
      <c r="I27" s="8"/>
      <c r="J27" s="1" t="s">
        <v>72</v>
      </c>
      <c r="K27" s="1">
        <f t="shared" si="2"/>
        <v>-821.04</v>
      </c>
      <c r="M27" s="1" t="s">
        <v>99</v>
      </c>
      <c r="N27" s="1">
        <f t="shared" si="4"/>
        <v>8.458716261657262</v>
      </c>
      <c r="O27" s="1" t="s">
        <v>113</v>
      </c>
      <c r="P27" s="1">
        <f t="shared" si="5"/>
        <v>7.7523351633022921</v>
      </c>
    </row>
    <row r="30" spans="7:17">
      <c r="G30" s="11" t="s">
        <v>73</v>
      </c>
      <c r="H30" s="11"/>
      <c r="J30" s="11" t="s">
        <v>43</v>
      </c>
      <c r="K30" s="11"/>
    </row>
    <row r="31" spans="7:17">
      <c r="G31" s="1" t="s">
        <v>74</v>
      </c>
      <c r="H31" s="1">
        <f>EXP(1.678+0.775*N15)</f>
        <v>1077.8590552358464</v>
      </c>
      <c r="J31" s="1" t="s">
        <v>115</v>
      </c>
      <c r="K31" s="1">
        <f>B2-H31</f>
        <v>-826.85905523584643</v>
      </c>
    </row>
    <row r="32" spans="7:17">
      <c r="G32" s="1" t="s">
        <v>75</v>
      </c>
      <c r="H32" s="1">
        <f t="shared" ref="H32:H43" si="6">EXP(1.678+0.775*N16)</f>
        <v>4417.4397279200984</v>
      </c>
      <c r="J32" s="1" t="s">
        <v>116</v>
      </c>
      <c r="K32" s="1">
        <f t="shared" ref="K32:K43" si="7">B3-H32</f>
        <v>272.56027207990155</v>
      </c>
    </row>
    <row r="33" spans="7:11">
      <c r="G33" s="1" t="s">
        <v>76</v>
      </c>
      <c r="H33" s="1">
        <f t="shared" si="6"/>
        <v>432.45604159989591</v>
      </c>
      <c r="J33" s="1" t="s">
        <v>117</v>
      </c>
      <c r="K33" s="1">
        <f t="shared" si="7"/>
        <v>-308.45604159989591</v>
      </c>
    </row>
    <row r="34" spans="7:11">
      <c r="G34" s="1" t="s">
        <v>77</v>
      </c>
      <c r="H34" s="1">
        <f t="shared" si="6"/>
        <v>425.48144760883093</v>
      </c>
      <c r="J34" s="1" t="s">
        <v>118</v>
      </c>
      <c r="K34" s="1">
        <f t="shared" si="7"/>
        <v>-131.48144760883093</v>
      </c>
    </row>
    <row r="35" spans="7:11">
      <c r="G35" s="1" t="s">
        <v>78</v>
      </c>
      <c r="H35" s="1">
        <f t="shared" si="6"/>
        <v>243.86666133774921</v>
      </c>
      <c r="J35" s="1" t="s">
        <v>119</v>
      </c>
      <c r="K35" s="1">
        <f t="shared" si="7"/>
        <v>-105.86666133774921</v>
      </c>
    </row>
    <row r="36" spans="7:11">
      <c r="G36" s="1" t="s">
        <v>79</v>
      </c>
      <c r="H36" s="1">
        <f t="shared" si="6"/>
        <v>2442.3260869486885</v>
      </c>
      <c r="J36" s="1" t="s">
        <v>120</v>
      </c>
      <c r="K36" s="1">
        <f t="shared" si="7"/>
        <v>-1057.3260869486885</v>
      </c>
    </row>
    <row r="37" spans="7:11">
      <c r="G37" s="1" t="s">
        <v>80</v>
      </c>
      <c r="H37" s="1">
        <f t="shared" si="6"/>
        <v>823.03655576990695</v>
      </c>
      <c r="J37" s="1" t="s">
        <v>121</v>
      </c>
      <c r="K37" s="1">
        <f t="shared" si="7"/>
        <v>-478.03655576990695</v>
      </c>
    </row>
    <row r="38" spans="7:11">
      <c r="G38" s="1" t="s">
        <v>81</v>
      </c>
      <c r="H38" s="1">
        <f t="shared" si="6"/>
        <v>1191.8013201951708</v>
      </c>
      <c r="J38" s="1" t="s">
        <v>122</v>
      </c>
      <c r="K38" s="1">
        <f t="shared" si="7"/>
        <v>-836.80132019517077</v>
      </c>
    </row>
    <row r="39" spans="7:11">
      <c r="G39" s="1" t="s">
        <v>82</v>
      </c>
      <c r="H39" s="1">
        <f t="shared" si="6"/>
        <v>5082.0874563362486</v>
      </c>
      <c r="J39" s="1" t="s">
        <v>123</v>
      </c>
      <c r="K39" s="1">
        <f t="shared" si="7"/>
        <v>170.91254366375142</v>
      </c>
    </row>
    <row r="40" spans="7:11">
      <c r="G40" s="1" t="s">
        <v>83</v>
      </c>
      <c r="H40" s="1">
        <f t="shared" si="6"/>
        <v>3415.5649946079884</v>
      </c>
      <c r="J40" s="1" t="s">
        <v>124</v>
      </c>
      <c r="K40" s="1">
        <f t="shared" si="7"/>
        <v>-2238.5649946079884</v>
      </c>
    </row>
    <row r="41" spans="7:11">
      <c r="G41" s="1" t="s">
        <v>84</v>
      </c>
      <c r="H41" s="1">
        <f t="shared" si="6"/>
        <v>1358.7271781650606</v>
      </c>
      <c r="J41" s="1" t="s">
        <v>125</v>
      </c>
      <c r="K41" s="1">
        <f t="shared" si="7"/>
        <v>-556.72717816506065</v>
      </c>
    </row>
    <row r="42" spans="7:11">
      <c r="G42" s="1" t="s">
        <v>85</v>
      </c>
      <c r="H42" s="1">
        <f t="shared" si="6"/>
        <v>1534.3566184121603</v>
      </c>
      <c r="J42" s="1" t="s">
        <v>126</v>
      </c>
      <c r="K42" s="1">
        <f t="shared" si="7"/>
        <v>-589.35661841216029</v>
      </c>
    </row>
    <row r="43" spans="7:11">
      <c r="G43" s="1" t="s">
        <v>86</v>
      </c>
      <c r="H43" s="1">
        <f t="shared" si="6"/>
        <v>3765.007389009445</v>
      </c>
      <c r="J43" s="1" t="s">
        <v>127</v>
      </c>
      <c r="K43" s="1">
        <f t="shared" si="7"/>
        <v>-1438.007389009445</v>
      </c>
    </row>
  </sheetData>
  <mergeCells count="11">
    <mergeCell ref="K4:L5"/>
    <mergeCell ref="M4:M5"/>
    <mergeCell ref="I4:I5"/>
    <mergeCell ref="I10:I11"/>
    <mergeCell ref="G10:H11"/>
    <mergeCell ref="G4:H5"/>
    <mergeCell ref="G30:H30"/>
    <mergeCell ref="J30:K30"/>
    <mergeCell ref="G14:H14"/>
    <mergeCell ref="J14:K14"/>
    <mergeCell ref="M14:P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workbookViewId="0">
      <selection activeCell="C5" sqref="C5"/>
    </sheetView>
  </sheetViews>
  <sheetFormatPr defaultRowHeight="15"/>
  <cols>
    <col min="1" max="1" width="16" customWidth="1"/>
    <col min="2" max="2" width="12.5703125" customWidth="1"/>
    <col min="3" max="3" width="26.28515625" customWidth="1"/>
    <col min="4" max="4" width="13" customWidth="1"/>
    <col min="6" max="6" width="16.140625" customWidth="1"/>
    <col min="7" max="7" width="14.85546875" customWidth="1"/>
    <col min="8" max="8" width="18.42578125" customWidth="1"/>
    <col min="9" max="9" width="19.28515625" customWidth="1"/>
  </cols>
  <sheetData>
    <row r="1" spans="1:9">
      <c r="A1" s="12" t="s">
        <v>7</v>
      </c>
      <c r="B1" s="12"/>
    </row>
    <row r="3" spans="1:9">
      <c r="A3" s="5" t="s">
        <v>8</v>
      </c>
      <c r="B3" s="5"/>
    </row>
    <row r="4" spans="1:9">
      <c r="A4" s="1" t="s">
        <v>9</v>
      </c>
      <c r="B4" s="1">
        <v>0.93405296827918549</v>
      </c>
    </row>
    <row r="5" spans="1:9">
      <c r="A5" s="1" t="s">
        <v>10</v>
      </c>
      <c r="B5" s="1">
        <v>0.87245494755115716</v>
      </c>
    </row>
    <row r="6" spans="1:9">
      <c r="A6" s="1" t="s">
        <v>11</v>
      </c>
      <c r="B6" s="1">
        <v>0.85970044230627285</v>
      </c>
    </row>
    <row r="7" spans="1:9">
      <c r="A7" s="1" t="s">
        <v>12</v>
      </c>
      <c r="B7" s="1">
        <v>655.6454339201664</v>
      </c>
    </row>
    <row r="8" spans="1:9">
      <c r="A8" s="1" t="s">
        <v>13</v>
      </c>
      <c r="B8" s="1">
        <v>12</v>
      </c>
    </row>
    <row r="10" spans="1:9">
      <c r="A10" s="10" t="s">
        <v>14</v>
      </c>
      <c r="B10" s="10"/>
      <c r="C10" s="10"/>
      <c r="D10" s="10"/>
      <c r="E10" s="10"/>
      <c r="F10" s="10"/>
    </row>
    <row r="11" spans="1:9">
      <c r="A11" s="4"/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</row>
    <row r="12" spans="1:9">
      <c r="A12" s="1" t="s">
        <v>15</v>
      </c>
      <c r="B12" s="1">
        <v>1</v>
      </c>
      <c r="C12" s="1">
        <v>29404748.899796367</v>
      </c>
      <c r="D12" s="1">
        <v>29404748.899796367</v>
      </c>
      <c r="E12" s="1">
        <v>68.403668413644766</v>
      </c>
      <c r="F12" s="1">
        <v>8.7878845825288513E-6</v>
      </c>
    </row>
    <row r="13" spans="1:9">
      <c r="A13" s="1" t="s">
        <v>16</v>
      </c>
      <c r="B13" s="1">
        <v>10</v>
      </c>
      <c r="C13" s="1">
        <v>4298709.3502036333</v>
      </c>
      <c r="D13" s="1">
        <v>429870.93502036331</v>
      </c>
      <c r="E13" s="1"/>
      <c r="F13" s="1"/>
    </row>
    <row r="14" spans="1:9">
      <c r="A14" s="1" t="s">
        <v>17</v>
      </c>
      <c r="B14" s="1">
        <v>11</v>
      </c>
      <c r="C14" s="1">
        <v>33703458.25</v>
      </c>
      <c r="D14" s="1"/>
      <c r="E14" s="1"/>
      <c r="F14" s="1"/>
    </row>
    <row r="16" spans="1:9">
      <c r="A16" s="4"/>
      <c r="B16" s="4" t="s">
        <v>24</v>
      </c>
      <c r="C16" s="4" t="s">
        <v>12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</row>
    <row r="17" spans="1:9">
      <c r="A17" s="1" t="s">
        <v>18</v>
      </c>
      <c r="B17" s="1">
        <v>-211.44302824468514</v>
      </c>
      <c r="C17" s="1">
        <v>279.20813728640792</v>
      </c>
      <c r="D17" s="1">
        <v>-0.75729536502652051</v>
      </c>
      <c r="E17" s="1">
        <v>0.46634222412930426</v>
      </c>
      <c r="F17" s="1">
        <v>-833.5575267232482</v>
      </c>
      <c r="G17" s="1">
        <v>410.67147023387793</v>
      </c>
      <c r="H17" s="1">
        <v>-833.5575267232482</v>
      </c>
      <c r="I17" s="1">
        <v>410.67147023387793</v>
      </c>
    </row>
    <row r="18" spans="1:9">
      <c r="A18" s="1">
        <v>939</v>
      </c>
      <c r="B18" s="1">
        <v>0.69051677249555032</v>
      </c>
      <c r="C18" s="1">
        <v>8.3490014295733661E-2</v>
      </c>
      <c r="D18" s="1">
        <v>8.2706510271951856</v>
      </c>
      <c r="E18" s="1">
        <v>8.7878845825288191E-6</v>
      </c>
      <c r="F18" s="1">
        <v>0.50448942789033668</v>
      </c>
      <c r="G18" s="1">
        <v>0.87654411710076396</v>
      </c>
      <c r="H18" s="1">
        <v>0.50448942789033668</v>
      </c>
      <c r="I18" s="1">
        <v>0.87654411710076396</v>
      </c>
    </row>
    <row r="22" spans="1:9">
      <c r="A22" s="18" t="s">
        <v>40</v>
      </c>
      <c r="B22" s="18"/>
      <c r="C22" s="18"/>
    </row>
    <row r="23" spans="1:9">
      <c r="A23" s="18"/>
      <c r="B23" s="18"/>
      <c r="C23" s="18"/>
    </row>
    <row r="24" spans="1:9">
      <c r="A24" s="4" t="s">
        <v>41</v>
      </c>
      <c r="B24" s="4" t="s">
        <v>42</v>
      </c>
      <c r="C24" s="4" t="s">
        <v>43</v>
      </c>
    </row>
    <row r="25" spans="1:9">
      <c r="A25" s="1">
        <v>1</v>
      </c>
      <c r="B25" s="1">
        <v>3790.7921851395245</v>
      </c>
      <c r="C25" s="1">
        <v>899.20781486047554</v>
      </c>
    </row>
    <row r="26" spans="1:9">
      <c r="A26" s="1">
        <v>2</v>
      </c>
      <c r="B26" s="1">
        <v>-11.883680993471103</v>
      </c>
      <c r="C26" s="1">
        <v>135.8836809934711</v>
      </c>
    </row>
    <row r="27" spans="1:9">
      <c r="A27" s="1">
        <v>3</v>
      </c>
      <c r="B27" s="1">
        <v>-16.026781628444382</v>
      </c>
      <c r="C27" s="1">
        <v>310.02678162844438</v>
      </c>
    </row>
    <row r="28" spans="1:9">
      <c r="A28" s="1">
        <v>4</v>
      </c>
      <c r="B28" s="1">
        <v>-116.15171364029919</v>
      </c>
      <c r="C28" s="1">
        <v>254.15171364029919</v>
      </c>
    </row>
    <row r="29" spans="1:9">
      <c r="A29" s="1">
        <v>5</v>
      </c>
      <c r="B29" s="1">
        <v>1651.5712239483096</v>
      </c>
      <c r="C29" s="1">
        <v>-266.57122394830958</v>
      </c>
    </row>
    <row r="30" spans="1:9">
      <c r="A30" s="1">
        <v>6</v>
      </c>
      <c r="B30" s="1">
        <v>246.36959191986472</v>
      </c>
      <c r="C30" s="1">
        <v>98.630408080135282</v>
      </c>
    </row>
    <row r="31" spans="1:9">
      <c r="A31" s="1">
        <v>7</v>
      </c>
      <c r="B31" s="1">
        <v>526.71940155305811</v>
      </c>
      <c r="C31" s="1">
        <v>-171.71940155305811</v>
      </c>
    </row>
    <row r="32" spans="1:9">
      <c r="A32" s="1">
        <v>8</v>
      </c>
      <c r="B32" s="1">
        <v>4584.1959567369122</v>
      </c>
      <c r="C32" s="1">
        <v>668.80404326308781</v>
      </c>
    </row>
    <row r="33" spans="1:3">
      <c r="A33" s="1">
        <v>9</v>
      </c>
      <c r="B33" s="1">
        <v>2660.4162285643088</v>
      </c>
      <c r="C33" s="1">
        <v>-1483.4162285643088</v>
      </c>
    </row>
    <row r="34" spans="1:3">
      <c r="A34" s="1">
        <v>10</v>
      </c>
      <c r="B34" s="1">
        <v>662.75120573468155</v>
      </c>
      <c r="C34" s="1">
        <v>139.24879426531845</v>
      </c>
    </row>
    <row r="35" spans="1:3">
      <c r="A35" s="1">
        <v>11</v>
      </c>
      <c r="B35" s="1">
        <v>811.21231182122494</v>
      </c>
      <c r="C35" s="1">
        <v>133.78768817877506</v>
      </c>
    </row>
    <row r="36" spans="1:3">
      <c r="A36" s="1">
        <v>12</v>
      </c>
      <c r="B36" s="1">
        <v>3045.03407084433</v>
      </c>
      <c r="C36" s="1">
        <v>-718.03407084433002</v>
      </c>
    </row>
  </sheetData>
  <mergeCells count="3">
    <mergeCell ref="A10:F10"/>
    <mergeCell ref="A22:C23"/>
    <mergeCell ref="A1:B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workbookViewId="0">
      <selection activeCell="B18" sqref="B18"/>
    </sheetView>
  </sheetViews>
  <sheetFormatPr defaultRowHeight="15"/>
  <cols>
    <col min="1" max="1" width="13.7109375" customWidth="1"/>
    <col min="2" max="3" width="13.85546875" customWidth="1"/>
    <col min="4" max="4" width="13.42578125" customWidth="1"/>
    <col min="5" max="5" width="12" customWidth="1"/>
    <col min="6" max="6" width="13.42578125" customWidth="1"/>
    <col min="7" max="8" width="12.7109375" customWidth="1"/>
    <col min="9" max="9" width="17.5703125" customWidth="1"/>
  </cols>
  <sheetData>
    <row r="1" spans="1:9">
      <c r="A1" s="12" t="s">
        <v>7</v>
      </c>
      <c r="B1" s="12"/>
    </row>
    <row r="2" spans="1:9">
      <c r="A2" s="12"/>
      <c r="B2" s="12"/>
    </row>
    <row r="3" spans="1:9">
      <c r="A3" s="5" t="s">
        <v>8</v>
      </c>
      <c r="B3" s="5"/>
    </row>
    <row r="4" spans="1:9">
      <c r="A4" s="1" t="s">
        <v>9</v>
      </c>
      <c r="B4" s="1">
        <v>0.95059478603844272</v>
      </c>
    </row>
    <row r="5" spans="1:9">
      <c r="A5" s="1" t="s">
        <v>10</v>
      </c>
      <c r="B5" s="1">
        <v>0.90363044724347275</v>
      </c>
    </row>
    <row r="6" spans="1:9">
      <c r="A6" s="1" t="s">
        <v>11</v>
      </c>
      <c r="B6" s="1">
        <v>0.89399349196781996</v>
      </c>
    </row>
    <row r="7" spans="1:9">
      <c r="A7" s="1" t="s">
        <v>12</v>
      </c>
      <c r="B7" s="1">
        <v>0.40717986922939459</v>
      </c>
    </row>
    <row r="8" spans="1:9">
      <c r="A8" s="1" t="s">
        <v>13</v>
      </c>
      <c r="B8" s="1">
        <v>12</v>
      </c>
    </row>
    <row r="10" spans="1:9">
      <c r="A10" s="11" t="s">
        <v>14</v>
      </c>
      <c r="B10" s="11"/>
      <c r="C10" s="11"/>
      <c r="D10" s="11"/>
      <c r="E10" s="11"/>
      <c r="F10" s="11"/>
    </row>
    <row r="11" spans="1:9">
      <c r="A11" s="4"/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</row>
    <row r="12" spans="1:9">
      <c r="A12" s="1" t="s">
        <v>15</v>
      </c>
      <c r="B12" s="1">
        <v>1</v>
      </c>
      <c r="C12" s="1">
        <v>15.546177049630575</v>
      </c>
      <c r="D12" s="1">
        <v>15.546177049630575</v>
      </c>
      <c r="E12" s="1">
        <v>93.767213958795537</v>
      </c>
      <c r="F12" s="1">
        <v>2.1331115761272265E-6</v>
      </c>
    </row>
    <row r="13" spans="1:9">
      <c r="A13" s="1" t="s">
        <v>16</v>
      </c>
      <c r="B13" s="1">
        <v>10</v>
      </c>
      <c r="C13" s="1">
        <v>1.6579544590566686</v>
      </c>
      <c r="D13" s="1">
        <v>0.16579544590566686</v>
      </c>
      <c r="E13" s="1"/>
      <c r="F13" s="1"/>
    </row>
    <row r="14" spans="1:9">
      <c r="A14" s="1" t="s">
        <v>17</v>
      </c>
      <c r="B14" s="1">
        <v>11</v>
      </c>
      <c r="C14" s="1">
        <v>17.204131508687244</v>
      </c>
      <c r="D14" s="1"/>
      <c r="E14" s="1"/>
      <c r="F14" s="1"/>
    </row>
    <row r="16" spans="1:9">
      <c r="A16" s="4"/>
      <c r="B16" s="4" t="s">
        <v>24</v>
      </c>
      <c r="C16" s="4" t="s">
        <v>12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</row>
    <row r="17" spans="1:9">
      <c r="A17" s="1" t="s">
        <v>18</v>
      </c>
      <c r="B17" s="1">
        <v>8.6155145406905831E-2</v>
      </c>
      <c r="C17" s="1">
        <v>0.68763663778565753</v>
      </c>
      <c r="D17" s="1">
        <v>0.12529167393457177</v>
      </c>
      <c r="E17" s="1">
        <v>0.90277567543448978</v>
      </c>
      <c r="F17" s="1">
        <v>-1.4459947632925307</v>
      </c>
      <c r="G17" s="1">
        <v>1.6183050541063424</v>
      </c>
      <c r="H17" s="1">
        <v>-1.4459947632925307</v>
      </c>
      <c r="I17" s="1">
        <v>1.6183050541063424</v>
      </c>
    </row>
    <row r="18" spans="1:9">
      <c r="A18" s="1">
        <v>6.8448154792082629</v>
      </c>
      <c r="B18" s="1">
        <v>0.91164929410927387</v>
      </c>
      <c r="C18" s="1">
        <v>9.4146091284186412E-2</v>
      </c>
      <c r="D18" s="1">
        <v>9.683347249727003</v>
      </c>
      <c r="E18" s="1">
        <v>2.1331115761272265E-6</v>
      </c>
      <c r="F18" s="1">
        <v>0.70187873035633175</v>
      </c>
      <c r="G18" s="1">
        <v>1.1214198578622159</v>
      </c>
      <c r="H18" s="1">
        <v>0.70187873035633175</v>
      </c>
      <c r="I18" s="1">
        <v>1.1214198578622159</v>
      </c>
    </row>
  </sheetData>
  <mergeCells count="2">
    <mergeCell ref="A1:B2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13</vt:lpstr>
      <vt:lpstr>13 ANOVA</vt:lpstr>
      <vt:lpstr>13 result II</vt:lpstr>
      <vt:lpstr>scatter plot number 13</vt:lpstr>
      <vt:lpstr>15</vt:lpstr>
      <vt:lpstr>15 a</vt:lpstr>
      <vt:lpstr>15 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Seanlogy_</dc:creator>
  <cp:lastModifiedBy>JOVIAN ARISTO UNI</cp:lastModifiedBy>
  <dcterms:created xsi:type="dcterms:W3CDTF">2025-06-04T12:42:19Z</dcterms:created>
  <dcterms:modified xsi:type="dcterms:W3CDTF">2025-06-04T16:07:03Z</dcterms:modified>
</cp:coreProperties>
</file>